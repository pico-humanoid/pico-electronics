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ico-electronics\BOM\"/>
    </mc:Choice>
  </mc:AlternateContent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<sst xmlns="http://schemas.openxmlformats.org/spreadsheetml/2006/main" count="16" uniqueCount="14">
  <si>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产品</t>
  </si>
  <si>
    <t>单价</t>
  </si>
  <si>
    <t>数量</t>
  </si>
  <si>
    <t>小计</t>
  </si>
  <si>
    <t>使用人</t>
  </si>
  <si>
    <t>备注（购买链接）</t>
  </si>
  <si>
    <t>灵足时代电机模组ROBSTRIDE 10P（含CAN调试）</t>
  </si>
  <si>
    <t>杨宸涵</t>
  </si>
  <si>
    <t>https://item.taobao.com/item.htm?from=cart&amp;id=1079314226848&amp;mi_id=0000QWWUmhJdZNyrhWbHIbM_y8wxuX-DpCGxr3dVRSjLCbQ&amp;skuId=6299088163686&amp;spm=a1z0d.6639537%2F202410.item.d1079314226848.69167484p4AFV7&amp;upStreamPrice=89900&amp;xxc=taobaoSearch</t>
  </si>
  <si>
    <t>灵足时代关节电机模组ROBSTRIDE00（含CAN调试）</t>
  </si>
  <si>
    <t>https://item.taobao.com/item.htm?from=cart&amp;id=1079314226848&amp;mi_id=0000QWWUmhJdZNyrhWbHIbM_y8wxuX-DpCGxr3dVRSjLCbQ&amp;skuId=6132962189472&amp;spm=a1z0d.6639537%2F202410.item.d1079314226848.69167484p4AFV7&amp;upStreamPrice=89900&amp;xxc=taobaoSearch</t>
  </si>
  <si>
    <t>灵足时代 多功能电源管理模块</t>
  </si>
  <si>
    <t>https://item.taobao.com/item.htm?abbucket=0&amp;id=1025248375262&amp;mi_id=000048G5xOaak49ofo42Fry-inHjaAv6_2u7zB50EbCiXhg&amp;ns=1&amp;skuId=6202661899589&amp;spm=a21xtw.29978516.product_shelf.10.2ba71cb7MmqAMo&amp;xxc=taobaoSearch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</si>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</sst>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¥\-#,##0.00"/>
    <numFmt numFmtId="177" formatCode="\¥#,##0;[Red]\¥\-#,##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2" fillId="0" borderId="1" xfId="6" applyFont="1" applyBorder="1">
      <alignment vertical="center"/>
    </xf>
    <xf numFmtId="49" fontId="0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6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8" fontId="0" fillId="0" borderId="2" xfId="0" applyNumberFormat="1" applyBorder="1" applyAlignment="1">
      <alignment horizontal="right" vertical="center"/>
    </xf>
    <xf numFmtId="8" fontId="0" fillId="0" borderId="3" xfId="0" applyNumberFormat="1" applyBorder="1" applyAlignment="1">
      <alignment horizontal="right" vertical="center"/>
    </xf>
    <xf numFmtId="8" fontId="0" fillId="0" borderId="4" xfId="0" applyNumberFormat="1" applyBorder="1" applyAlignment="1">
      <alignment horizontal="right" vertical="center"/>
    </xf>
    <xf numFmtId="6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abbucket=0&amp;id=1025248375262&amp;mi_id=000048G5xOaak49ofo42Fry-inHjaAv6_2u7zB50EbCiXhg&amp;ns=1&amp;skuId=6202661899589&amp;spm=a21xtw.29978516.product_shelf.10.2ba71cb7MmqAMo&amp;xxc=taobaoSearch" TargetMode="External"/><Relationship Id="rId2" Type="http://schemas.openxmlformats.org/officeDocument/2006/relationships/hyperlink" Target="https://item.taobao.com/item.htm?from=cart&amp;id=1079314226848&amp;mi_id=0000QWWUmhJdZNyrhWbHIbM_y8wxuX-DpCGxr3dVRSjLCbQ&amp;skuId=6132962189472&amp;spm=a1z0d.6639537%2F202410.item.d1079314226848.69167484p4AFV7&amp;upStreamPrice=89900&amp;xxc=taobaoSearch" TargetMode="External"/><Relationship Id="rId1" Type="http://schemas.openxmlformats.org/officeDocument/2006/relationships/hyperlink" Target="https://item.taobao.com/item.htm?from=cart&amp;id=1079314226848&amp;mi_id=0000QWWUmhJdZNyrhWbHIbM_y8wxuX-DpCGxr3dVRSjLCbQ&amp;skuId=6299088163686&amp;spm=a1z0d.6639537%2F202410.item.d1079314226848.69167484p4AFV7&amp;upStreamPrice=89900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zoomScale="115" zoomScaleNormal="115" workbookViewId="0">
      <selection activeCell="B13" sqref="B13"/>
    </sheetView>
  </sheetViews>
  <sheetFormatPr defaultColWidth="8.72727272727273" defaultRowHeight="14" outlineLevelCol="5"/>
  <cols>
    <col min="1" max="1" width="38.1818181818182" customWidth="1"/>
    <col min="2" max="2" width="15.6363636363636" customWidth="1"/>
    <col min="3" max="5" width="15.4545454545455" customWidth="1"/>
    <col min="6" max="6" width="54.6363636363636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>
      <c r="A2" s="2" t="s">
        <v>6</v>
      </c>
      <c r="B2" s="3">
        <v>899</v>
      </c>
      <c r="C2" s="4">
        <v>1</v>
      </c>
      <c r="D2" s="3">
        <f>B2*C2</f>
        <v>899</v>
      </c>
      <c r="E2" s="5" t="s">
        <v>7</v>
      </c>
      <c r="F2" s="6" t="s">
        <v>8</v>
      </c>
    </row>
    <row r="3" ht="20" customHeight="1" spans="1:6">
      <c r="A3" s="7" t="s">
        <v>9</v>
      </c>
      <c r="B3" s="3">
        <v>638</v>
      </c>
      <c r="C3" s="8">
        <v>1</v>
      </c>
      <c r="D3" s="3">
        <f>B3*C3</f>
        <v>638</v>
      </c>
      <c r="E3" s="5" t="s">
        <v>7</v>
      </c>
      <c r="F3" s="9" t="s">
        <v>10</v>
      </c>
    </row>
    <row r="4" ht="20" customHeight="1" spans="1:6">
      <c r="A4" s="10" t="s">
        <v>11</v>
      </c>
      <c r="B4" s="3">
        <v>399</v>
      </c>
      <c r="C4" s="11">
        <v>1</v>
      </c>
      <c r="D4" s="3">
        <f>B4*C4</f>
        <v>399</v>
      </c>
      <c r="E4" s="5" t="s">
        <v>7</v>
      </c>
      <c r="F4" s="9" t="s">
        <v>12</v>
      </c>
    </row>
    <row r="5" ht="20" customHeight="1" spans="1:6">
      <c r="A5" s="10"/>
      <c r="B5" s="3"/>
      <c r="C5" s="11"/>
      <c r="D5" s="3"/>
      <c r="E5" s="5"/>
      <c r="F5" s="6"/>
    </row>
    <row r="6" ht="20" customHeight="1" spans="1:6">
      <c r="A6" s="10"/>
      <c r="B6" s="3"/>
      <c r="C6" s="11"/>
      <c r="D6" s="3"/>
      <c r="E6" s="5"/>
      <c r="F6" s="6"/>
    </row>
    <row r="7" ht="20" customHeight="1" spans="1:6">
      <c r="A7" s="7"/>
      <c r="B7" s="12"/>
      <c r="C7" s="11"/>
      <c r="D7" s="3"/>
      <c r="E7" s="5"/>
      <c r="F7" s="6"/>
    </row>
    <row r="8" ht="20" customHeight="1" spans="1:6">
      <c r="A8" s="7"/>
      <c r="B8" s="3"/>
      <c r="C8" s="8"/>
      <c r="D8" s="3"/>
      <c r="E8" s="5"/>
      <c r="F8" s="6"/>
    </row>
    <row r="9" ht="20" customHeight="1" spans="1:6">
      <c r="A9" s="7"/>
      <c r="B9" s="3"/>
      <c r="C9" s="8"/>
      <c r="D9" s="3"/>
      <c r="E9" s="5"/>
      <c r="F9" s="6"/>
    </row>
    <row r="10" ht="20" customHeight="1" spans="1:6">
      <c r="A10" s="11" t="s">
        <v>13</v>
      </c>
      <c r="B10" s="13">
        <f>SUM(D2:D8)</f>
        <v>1936</v>
      </c>
      <c r="C10" s="14"/>
      <c r="D10" s="15"/>
      <c r="E10" s="16"/>
      <c r="F10" s="17"/>
    </row>
  </sheetData>
  <mergeCells count="1">
    <mergeCell ref="B10:D10"/>
  </mergeCells>
  <hyperlinks>
    <hyperlink ref="F2" r:id="rId1" display="https://item.taobao.com/item.htm?from=cart&amp;id=1079314226848&amp;mi_id=0000QWWUmhJdZNyrhWbHIbM_y8wxuX-DpCGxr3dVRSjLCbQ&amp;skuId=6299088163686&amp;spm=a1z0d.6639537%2F202410.item.d1079314226848.69167484p4AFV7&amp;upStreamPrice=89900&amp;xxc=taobaoSearch"/>
    <hyperlink ref="F3" r:id="rId2" display="https://item.taobao.com/item.htm?from=cart&amp;id=1079314226848&amp;mi_id=0000QWWUmhJdZNyrhWbHIbM_y8wxuX-DpCGxr3dVRSjLCbQ&amp;skuId=6132962189472&amp;spm=a1z0d.6639537%2F202410.item.d1079314226848.69167484p4AFV7&amp;upStreamPrice=89900&amp;xxc=taobaoSearch"/>
    <hyperlink ref="F4" r:id="rId3" display="https://item.taobao.com/item.htm?abbucket=0&amp;id=1025248375262&amp;mi_id=000048G5xOaak49ofo42Fry-inHjaAv6_2u7zB50EbCiXhg&amp;ns=1&amp;skuId=6202661899589&amp;spm=a21xtw.29978516.product_shelf.10.2ba71cb7MmqAMo&amp;xxc=taobaoSearch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王博渊</dc:creator>
  <cp:lastModifiedBy>迷猴逃</cp:lastModifiedBy>
  <dcterms:created xsi:type="dcterms:W3CDTF">2025-11-07T11:40:00Z</dcterms:created>
  <dcterms:modified xsi:type="dcterms:W3CDTF">2026-10-14T02:32:32Z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815445A5ABC146CAB538679C44B3682F_11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