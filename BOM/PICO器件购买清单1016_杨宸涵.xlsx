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pico-humanoid\pico-electronics\BOM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<sst xmlns="http://schemas.openxmlformats.org/spreadsheetml/2006/main" count="22" uniqueCount="18">
  <si>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产品</t>
  </si>
  <si>
    <t>单价</t>
  </si>
  <si>
    <t>数量</t>
  </si>
  <si>
    <t>小计</t>
  </si>
  <si>
    <t>使用人</t>
  </si>
  <si>
    <t>备注（购买链接）</t>
  </si>
  <si>
    <t>定制48V12AH锂电池</t>
  </si>
  <si>
    <t>杨宸涵</t>
  </si>
  <si>
    <t>https://item.taobao.com/item.htm?adType=ad&amp;from=cart&amp;id=1051005943737&amp;mi_id=0000VcdSwNMemrjYU0wGt5l6fmQmc2X99PIG7p-Ub3i0-6E&amp;skuId=6253113866116&amp;spm=a1z0d.6639537%2F202410.item.d1051005943737.157d7484rb7VvW&amp;upStreamPrice=218000&amp;xxc=ad_ztc_x
90-100-250mm内  48V12AH 索尼。设备电流40A  放电XT60母头，配CAN通讯 ，已商谈报价2500元</t>
  </si>
  <si>
    <t>XT30 2+2转GH1.25+XT30</t>
  </si>
  <si>
    <t>https://item.taobao.com/item.htm?from=cart&amp;id=815810342495&amp;mi_id=0000bWWWIZwnguPfMHvlN6od8r5O4AVTUGqY7e56J0VPlhc&amp;skuId=5683518279295&amp;spm=a1z0d.6639537%2F202410.item.d815810342495.157d7484Fp21nn&amp;upStreamPrice=1000&amp;xxc=taobaoSearch</t>
  </si>
  <si>
    <t>XT30（2+2）双端（18awg+26awg 200mm）</t>
  </si>
  <si>
    <t>https://item.taobao.com/item.htm?from=cart&amp;id=815810342495&amp;mi_id=0000bWWWIZwnguPfMHvlN6od8r5O4AVTUGqY7e56J0VPlhc&amp;skuId=5683518279285&amp;spm=a1z0d.6639537%2F202410.item.d815810342495.157d7484Fp21nn&amp;upStreamPrice=1500&amp;xxc=taobaoSearch</t>
  </si>
  <si>
    <t>XT30（2+2）单端（18awg+26awg 100mm）</t>
  </si>
  <si>
    <t>https://item.taobao.com/item.htm?from=cart&amp;id=815810342495&amp;mi_id=0000bWWWIZwnguPfMHvlN6od8r5O4AVTUGqY7e56J0VPlhc&amp;skuId=5683518279286&amp;spm=a1z0d.6639537%2F202410.item.d815810342495.157d7484Fp21nn&amp;upStreamPrice=800&amp;xxc=taobaoSearch</t>
  </si>
  <si>
    <t>GH1.25-2pin异面线</t>
  </si>
  <si>
    <t>https://item.taobao.com/item.htm?from=cart&amp;id=815810342495&amp;mi_id=0000bWWWIZwnguPfMHvlN6od8hTvhq_BL9EvJLkL2Z_WmGM&amp;spm=a1z0d.6639537%2F202410.item.d815810342495.2acc7484nLCJNW&amp;upStreamPrice=350&amp;xxc=taobaoSearch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</si>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</sst>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6" formatCode="&quot;￥&quot;#,##0;[Red]&quot;￥&quot;\-#,##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[Red]\¥\-#,##0.00"/>
    <numFmt numFmtId="177" formatCode="\¥#,##0;[Red]\¥\-#,##0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>
      <alignment vertical="center"/>
    </xf>
    <xf numFmtId="49" fontId="0" fillId="0" borderId="1" xfId="0" applyNumberFormat="1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77" fontId="0" fillId="0" borderId="1" xfId="0" applyNumberFormat="1" applyFill="1" applyBorder="1" applyAlignment="1">
      <alignment vertical="center"/>
    </xf>
    <xf numFmtId="0" fontId="2" fillId="0" borderId="1" xfId="6" applyFont="1" applyBorder="1" applyAlignment="1">
      <alignment vertical="center" wrapText="1"/>
    </xf>
    <xf numFmtId="49" fontId="0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6" applyFont="1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8" fontId="0" fillId="0" borderId="2" xfId="0" applyNumberFormat="1" applyBorder="1" applyAlignment="1">
      <alignment horizontal="right" vertical="center"/>
    </xf>
    <xf numFmtId="8" fontId="0" fillId="0" borderId="3" xfId="0" applyNumberFormat="1" applyBorder="1" applyAlignment="1">
      <alignment horizontal="right" vertical="center"/>
    </xf>
    <xf numFmtId="8" fontId="0" fillId="0" borderId="4" xfId="0" applyNumberFormat="1" applyBorder="1" applyAlignment="1">
      <alignment horizontal="right" vertical="center"/>
    </xf>
    <xf numFmtId="6" fontId="0" fillId="0" borderId="4" xfId="0" applyNumberFormat="1" applyBorder="1" applyAlignment="1">
      <alignment horizontal="right" vertical="center"/>
    </xf>
    <xf numFmtId="0" fontId="0" fillId="0" borderId="4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item.taobao.com/item.htm?from=cart&amp;id=815810342495&amp;mi_id=0000bWWWIZwnguPfMHvlN6od8hTvhq_BL9EvJLkL2Z_WmGM&amp;spm=a1z0d.6639537%2F202410.item.d815810342495.2acc7484nLCJNW&amp;upStreamPrice=350&amp;xxc=taobaoSearch" TargetMode="External"/><Relationship Id="rId4" Type="http://schemas.openxmlformats.org/officeDocument/2006/relationships/hyperlink" Target="https://item.taobao.com/item.htm?from=cart&amp;id=815810342495&amp;mi_id=0000bWWWIZwnguPfMHvlN6od8r5O4AVTUGqY7e56J0VPlhc&amp;skuId=5683518279286&amp;spm=a1z0d.6639537%2F202410.item.d815810342495.157d7484Fp21nn&amp;upStreamPrice=800&amp;xxc=taobaoSearch" TargetMode="External"/><Relationship Id="rId3" Type="http://schemas.openxmlformats.org/officeDocument/2006/relationships/hyperlink" Target="https://item.taobao.com/item.htm?from=cart&amp;id=815810342495&amp;mi_id=0000bWWWIZwnguPfMHvlN6od8r5O4AVTUGqY7e56J0VPlhc&amp;skuId=5683518279285&amp;spm=a1z0d.6639537%2F202410.item.d815810342495.157d7484Fp21nn&amp;upStreamPrice=1500&amp;xxc=taobaoSearch" TargetMode="External"/><Relationship Id="rId2" Type="http://schemas.openxmlformats.org/officeDocument/2006/relationships/hyperlink" Target="https://item.taobao.com/item.htm?from=cart&amp;id=815810342495&amp;mi_id=0000bWWWIZwnguPfMHvlN6od8r5O4AVTUGqY7e56J0VPlhc&amp;skuId=5683518279295&amp;spm=a1z0d.6639537%2F202410.item.d815810342495.157d7484Fp21nn&amp;upStreamPrice=1000&amp;xxc=taobaoSearch" TargetMode="External"/><Relationship Id="rId1" Type="http://schemas.openxmlformats.org/officeDocument/2006/relationships/hyperlink" Target="https://item.taobao.com/item.htm?adType=ad&amp;from=cart&amp;id=1051005943737&amp;mi_id=0000VcdSwNMemrjYU0wGt5l6fmQmc2X99PIG7p-Ub3i0-6E&amp;skuId=6253113866116&amp;spm=a1z0d.6639537%2F202410.item.d1051005943737.157d7484rb7VvW&amp;upStreamPrice=218000&amp;xxc=ad_ztc_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0"/>
  <sheetViews>
    <sheetView tabSelected="1" zoomScale="115" zoomScaleNormal="115" workbookViewId="0">
      <selection activeCell="D14" sqref="D14"/>
    </sheetView>
  </sheetViews>
  <sheetFormatPr defaultColWidth="8.725" defaultRowHeight="13.5" outlineLevelCol="5"/>
  <cols>
    <col min="1" max="1" width="38.1833333333333" customWidth="1"/>
    <col min="2" max="2" width="15.6333333333333" customWidth="1"/>
    <col min="3" max="5" width="15.4583333333333" customWidth="1"/>
    <col min="6" max="6" width="54.6333333333333" customWidth="1"/>
  </cols>
  <sheetData>
    <row r="1" ht="2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>
      <c r="A2" s="2" t="s">
        <v>6</v>
      </c>
      <c r="B2" s="3">
        <v>2500</v>
      </c>
      <c r="C2" s="4">
        <v>1</v>
      </c>
      <c r="D2" s="3">
        <f>C2*B2</f>
        <v>2500</v>
      </c>
      <c r="E2" s="5" t="s">
        <v>7</v>
      </c>
      <c r="F2" s="6" t="s">
        <v>8</v>
      </c>
    </row>
    <row r="3" ht="20" customHeight="1" spans="1:6">
      <c r="A3" s="7" t="s">
        <v>9</v>
      </c>
      <c r="B3" s="3">
        <v>10</v>
      </c>
      <c r="C3" s="8">
        <v>4</v>
      </c>
      <c r="D3" s="3">
        <f>C3*B3</f>
        <v>40</v>
      </c>
      <c r="E3" s="5" t="s">
        <v>7</v>
      </c>
      <c r="F3" s="9" t="s">
        <v>10</v>
      </c>
    </row>
    <row r="4" ht="20" customHeight="1" spans="1:6">
      <c r="A4" s="10" t="s">
        <v>11</v>
      </c>
      <c r="B4" s="3">
        <v>15</v>
      </c>
      <c r="C4" s="11">
        <v>10</v>
      </c>
      <c r="D4" s="3">
        <f>C4*B4</f>
        <v>150</v>
      </c>
      <c r="E4" s="5" t="s">
        <v>7</v>
      </c>
      <c r="F4" s="9" t="s">
        <v>12</v>
      </c>
    </row>
    <row r="5" ht="20" customHeight="1" spans="1:6">
      <c r="A5" s="10" t="s">
        <v>13</v>
      </c>
      <c r="B5" s="3">
        <v>8</v>
      </c>
      <c r="C5" s="11">
        <v>10</v>
      </c>
      <c r="D5" s="3">
        <f>C5*B5</f>
        <v>80</v>
      </c>
      <c r="E5" s="5" t="s">
        <v>7</v>
      </c>
      <c r="F5" s="9" t="s">
        <v>14</v>
      </c>
    </row>
    <row r="6" ht="20" customHeight="1" spans="1:6">
      <c r="A6" s="10" t="s">
        <v>15</v>
      </c>
      <c r="B6" s="3">
        <v>3.5</v>
      </c>
      <c r="C6" s="11">
        <v>8</v>
      </c>
      <c r="D6" s="3">
        <f>C6*B6</f>
        <v>28</v>
      </c>
      <c r="E6" s="5" t="s">
        <v>7</v>
      </c>
      <c r="F6" s="9" t="s">
        <v>16</v>
      </c>
    </row>
    <row r="7" ht="20" customHeight="1" spans="1:6">
      <c r="A7" s="7"/>
      <c r="B7" s="12"/>
      <c r="C7" s="11"/>
      <c r="D7" s="3"/>
      <c r="E7" s="5"/>
      <c r="F7" s="9"/>
    </row>
    <row r="8" ht="20" customHeight="1" spans="1:6">
      <c r="A8" s="7"/>
      <c r="B8" s="3"/>
      <c r="C8" s="8"/>
      <c r="D8" s="3"/>
      <c r="E8" s="5"/>
      <c r="F8" s="9"/>
    </row>
    <row r="9" ht="20" customHeight="1" spans="1:6">
      <c r="A9" s="7"/>
      <c r="B9" s="3"/>
      <c r="C9" s="8"/>
      <c r="D9" s="3"/>
      <c r="E9" s="5"/>
      <c r="F9" s="9"/>
    </row>
    <row r="10" ht="20" customHeight="1" spans="1:6">
      <c r="A10" s="11" t="s">
        <v>17</v>
      </c>
      <c r="B10" s="13">
        <f>SUM(D2:D8)</f>
        <v>2798</v>
      </c>
      <c r="C10" s="14"/>
      <c r="D10" s="15"/>
      <c r="E10" s="16"/>
      <c r="F10" s="17"/>
    </row>
  </sheetData>
  <mergeCells count="1">
    <mergeCell ref="B10:D10"/>
  </mergeCells>
  <hyperlinks>
    <hyperlink ref="F2" r:id="rId1" display="https://item.taobao.com/item.htm?adType=ad&amp;from=cart&amp;id=1051005943737&amp;mi_id=0000VcdSwNMemrjYU0wGt5l6fmQmc2X99PIG7p-Ub3i0-6E&amp;skuId=6253113866116&amp;spm=a1z0d.6639537%2F202410.item.d1051005943737.157d7484rb7VvW&amp;upStreamPrice=218000&amp;xxc=ad_ztc_x&#10;&#10;90-100-250mm内  48V12AH 索尼。设备电流40A  放电XT60母头，配CAN通讯 ，已商谈报价2500元" tooltip="https://item.taobao.com/item.htm?adType=ad&amp;from=cart&amp;id=1051005943737&amp;mi_id=0000VcdSwNMemrjYU0wGt5l6fmQmc2X99PIG7p-Ub3i0-6E&amp;skuId=6253113866116&amp;spm=a1z0d.6639537%2F202410.item.d1051005943737.157d7484rb7VvW&amp;upStreamPrice=218000&amp;xxc=ad_ztc_x"/>
    <hyperlink ref="F3" r:id="rId2" display="https://item.taobao.com/item.htm?from=cart&amp;id=815810342495&amp;mi_id=0000bWWWIZwnguPfMHvlN6od8r5O4AVTUGqY7e56J0VPlhc&amp;skuId=5683518279295&amp;spm=a1z0d.6639537%2F202410.item.d815810342495.157d7484Fp21nn&amp;upStreamPrice=1000&amp;xxc=taobaoSearch"/>
    <hyperlink ref="F4" r:id="rId3" display="https://item.taobao.com/item.htm?from=cart&amp;id=815810342495&amp;mi_id=0000bWWWIZwnguPfMHvlN6od8r5O4AVTUGqY7e56J0VPlhc&amp;skuId=5683518279285&amp;spm=a1z0d.6639537%2F202410.item.d815810342495.157d7484Fp21nn&amp;upStreamPrice=1500&amp;xxc=taobaoSearch"/>
    <hyperlink ref="F5" r:id="rId4" display="https://item.taobao.com/item.htm?from=cart&amp;id=815810342495&amp;mi_id=0000bWWWIZwnguPfMHvlN6od8r5O4AVTUGqY7e56J0VPlhc&amp;skuId=5683518279286&amp;spm=a1z0d.6639537%2F202410.item.d815810342495.157d7484Fp21nn&amp;upStreamPrice=800&amp;xxc=taobaoSearch"/>
    <hyperlink ref="F6" r:id="rId5" display="https://item.taobao.com/item.htm?from=cart&amp;id=815810342495&amp;mi_id=0000bWWWIZwnguPfMHvlN6od8hTvhq_BL9EvJLkL2Z_WmGM&amp;spm=a1z0d.6639537%2F202410.item.d815810342495.2acc7484nLCJNW&amp;upStreamPrice=350&amp;xxc=taobaoSearch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王博渊</dc:creator>
  <cp:lastModifiedBy>迷猴逃</cp:lastModifiedBy>
  <dcterms:created xsi:type="dcterms:W3CDTF">2025-11-07T11:40:00Z</dcterms:created>
  <dcterms:modified xsi:type="dcterms:W3CDTF">2026-10-16T11:08:04Z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815445A5ABC146CAB538679C44B3682F_11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